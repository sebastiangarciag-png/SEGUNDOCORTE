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QUINTO SEMESTRE\ECONOMETRIA\UNIDAD 2\ACTIVIDADES\ACTIVIDAD 2 EN R\"/>
    </mc:Choice>
  </mc:AlternateContent>
  <xr:revisionPtr revIDLastSave="0" documentId="13_ncr:1_{D92B6FBD-9AAC-4328-B86A-F5D51E5E7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  <sheet name="Hoja 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5" i="1" l="1"/>
  <c r="Q36" i="1"/>
  <c r="Q34" i="1"/>
  <c r="Q32" i="1"/>
  <c r="Q27" i="1"/>
  <c r="Q29" i="1"/>
  <c r="Q30" i="1"/>
  <c r="Q28" i="1" l="1"/>
  <c r="R12" i="1"/>
  <c r="S12" i="1" s="1"/>
  <c r="R11" i="1"/>
  <c r="S11" i="1" s="1"/>
  <c r="R10" i="1"/>
  <c r="S10" i="1" s="1"/>
  <c r="Q17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C24" i="1"/>
  <c r="F11" i="1" s="1"/>
  <c r="B24" i="1"/>
  <c r="E15" i="1" s="1"/>
  <c r="N10" i="1" l="1"/>
  <c r="N20" i="1"/>
  <c r="N7" i="1"/>
  <c r="H15" i="1"/>
  <c r="N18" i="1"/>
  <c r="N15" i="1"/>
  <c r="N14" i="1"/>
  <c r="N13" i="1"/>
  <c r="N12" i="1"/>
  <c r="N11" i="1"/>
  <c r="N9" i="1"/>
  <c r="N8" i="1"/>
  <c r="N5" i="1"/>
  <c r="N3" i="1"/>
  <c r="N22" i="1"/>
  <c r="N21" i="1"/>
  <c r="N19" i="1"/>
  <c r="N6" i="1"/>
  <c r="N17" i="1"/>
  <c r="N16" i="1"/>
  <c r="N4" i="1"/>
  <c r="E3" i="1"/>
  <c r="H3" i="1" s="1"/>
  <c r="E11" i="1"/>
  <c r="F21" i="1"/>
  <c r="F20" i="1"/>
  <c r="E14" i="1"/>
  <c r="E12" i="1"/>
  <c r="E10" i="1"/>
  <c r="F10" i="1"/>
  <c r="F8" i="1"/>
  <c r="E22" i="1"/>
  <c r="E13" i="1"/>
  <c r="F22" i="1"/>
  <c r="F9" i="1"/>
  <c r="E8" i="1"/>
  <c r="F16" i="1"/>
  <c r="E19" i="1"/>
  <c r="E18" i="1"/>
  <c r="E6" i="1"/>
  <c r="F14" i="1"/>
  <c r="E17" i="1"/>
  <c r="E5" i="1"/>
  <c r="F13" i="1"/>
  <c r="F19" i="1"/>
  <c r="F7" i="1"/>
  <c r="F18" i="1"/>
  <c r="F6" i="1"/>
  <c r="E21" i="1"/>
  <c r="E9" i="1"/>
  <c r="F17" i="1"/>
  <c r="F5" i="1"/>
  <c r="E20" i="1"/>
  <c r="F4" i="1"/>
  <c r="E7" i="1"/>
  <c r="F15" i="1"/>
  <c r="G15" i="1" s="1"/>
  <c r="E16" i="1"/>
  <c r="E4" i="1"/>
  <c r="F12" i="1"/>
  <c r="F3" i="1"/>
  <c r="H7" i="1" l="1"/>
  <c r="G7" i="1"/>
  <c r="H4" i="1"/>
  <c r="G4" i="1"/>
  <c r="H16" i="1"/>
  <c r="G16" i="1"/>
  <c r="H13" i="1"/>
  <c r="G13" i="1"/>
  <c r="G22" i="1"/>
  <c r="H22" i="1"/>
  <c r="H5" i="1"/>
  <c r="G5" i="1"/>
  <c r="G17" i="1"/>
  <c r="H17" i="1"/>
  <c r="G20" i="1"/>
  <c r="H20" i="1"/>
  <c r="H10" i="1"/>
  <c r="G10" i="1"/>
  <c r="H6" i="1"/>
  <c r="G6" i="1"/>
  <c r="H12" i="1"/>
  <c r="G12" i="1"/>
  <c r="H18" i="1"/>
  <c r="G18" i="1"/>
  <c r="H14" i="1"/>
  <c r="G14" i="1"/>
  <c r="N23" i="1"/>
  <c r="G9" i="1"/>
  <c r="H9" i="1"/>
  <c r="G19" i="1"/>
  <c r="H19" i="1"/>
  <c r="G21" i="1"/>
  <c r="H21" i="1"/>
  <c r="G8" i="1"/>
  <c r="H8" i="1"/>
  <c r="G11" i="1"/>
  <c r="H11" i="1"/>
  <c r="G3" i="1"/>
  <c r="H23" i="1" l="1"/>
  <c r="G23" i="1"/>
  <c r="G31" i="1" s="1"/>
  <c r="G28" i="1" s="1"/>
  <c r="I8" i="1" l="1"/>
  <c r="L8" i="1" s="1"/>
  <c r="I20" i="1"/>
  <c r="L20" i="1" s="1"/>
  <c r="I9" i="1"/>
  <c r="L9" i="1" s="1"/>
  <c r="I21" i="1"/>
  <c r="L21" i="1" s="1"/>
  <c r="I22" i="1"/>
  <c r="L22" i="1" s="1"/>
  <c r="I12" i="1"/>
  <c r="L12" i="1" s="1"/>
  <c r="I14" i="1"/>
  <c r="L14" i="1" s="1"/>
  <c r="I13" i="1"/>
  <c r="L13" i="1" s="1"/>
  <c r="I15" i="1"/>
  <c r="L15" i="1" s="1"/>
  <c r="I4" i="1"/>
  <c r="L4" i="1" s="1"/>
  <c r="I16" i="1"/>
  <c r="L16" i="1" s="1"/>
  <c r="I5" i="1"/>
  <c r="L5" i="1" s="1"/>
  <c r="I17" i="1"/>
  <c r="L17" i="1" s="1"/>
  <c r="I6" i="1"/>
  <c r="L6" i="1" s="1"/>
  <c r="I18" i="1"/>
  <c r="L18" i="1" s="1"/>
  <c r="I7" i="1"/>
  <c r="L7" i="1" s="1"/>
  <c r="I19" i="1"/>
  <c r="L19" i="1" s="1"/>
  <c r="I10" i="1"/>
  <c r="L10" i="1" s="1"/>
  <c r="I11" i="1"/>
  <c r="L11" i="1" s="1"/>
  <c r="I3" i="1"/>
  <c r="L3" i="1" s="1"/>
  <c r="L23" i="1" l="1"/>
  <c r="M6" i="1"/>
  <c r="J6" i="1"/>
  <c r="K6" i="1" s="1"/>
  <c r="M20" i="1"/>
  <c r="J20" i="1"/>
  <c r="K20" i="1" s="1"/>
  <c r="M17" i="1"/>
  <c r="J17" i="1"/>
  <c r="K17" i="1" s="1"/>
  <c r="M8" i="1"/>
  <c r="J8" i="1"/>
  <c r="K8" i="1" s="1"/>
  <c r="M5" i="1"/>
  <c r="J5" i="1"/>
  <c r="K5" i="1" s="1"/>
  <c r="M16" i="1"/>
  <c r="J16" i="1"/>
  <c r="K16" i="1" s="1"/>
  <c r="M4" i="1"/>
  <c r="J4" i="1"/>
  <c r="K4" i="1" s="1"/>
  <c r="M15" i="1"/>
  <c r="J15" i="1"/>
  <c r="K15" i="1" s="1"/>
  <c r="M3" i="1"/>
  <c r="J3" i="1"/>
  <c r="M13" i="1"/>
  <c r="J13" i="1"/>
  <c r="K13" i="1" s="1"/>
  <c r="J11" i="1"/>
  <c r="K11" i="1" s="1"/>
  <c r="M11" i="1"/>
  <c r="M14" i="1"/>
  <c r="J14" i="1"/>
  <c r="K14" i="1" s="1"/>
  <c r="M10" i="1"/>
  <c r="J10" i="1"/>
  <c r="K10" i="1" s="1"/>
  <c r="J12" i="1"/>
  <c r="K12" i="1" s="1"/>
  <c r="M12" i="1"/>
  <c r="M19" i="1"/>
  <c r="J19" i="1"/>
  <c r="K19" i="1" s="1"/>
  <c r="M22" i="1"/>
  <c r="J22" i="1"/>
  <c r="K22" i="1" s="1"/>
  <c r="M7" i="1"/>
  <c r="J7" i="1"/>
  <c r="K7" i="1" s="1"/>
  <c r="J21" i="1"/>
  <c r="K21" i="1" s="1"/>
  <c r="M21" i="1"/>
  <c r="M18" i="1"/>
  <c r="J18" i="1"/>
  <c r="K18" i="1" s="1"/>
  <c r="M9" i="1"/>
  <c r="J9" i="1"/>
  <c r="K9" i="1" s="1"/>
  <c r="J23" i="1" l="1"/>
  <c r="K3" i="1"/>
  <c r="K23" i="1" s="1"/>
  <c r="Q24" i="1" s="1"/>
  <c r="Q25" i="1" s="1"/>
  <c r="M23" i="1"/>
  <c r="L26" i="1" s="1"/>
</calcChain>
</file>

<file path=xl/sharedStrings.xml><?xml version="1.0" encoding="utf-8"?>
<sst xmlns="http://schemas.openxmlformats.org/spreadsheetml/2006/main" count="32" uniqueCount="28">
  <si>
    <t>i</t>
  </si>
  <si>
    <t>Tasa de interes</t>
  </si>
  <si>
    <t>Tasa de ahorro</t>
  </si>
  <si>
    <t>i=(1…...20)</t>
  </si>
  <si>
    <t>n=20</t>
  </si>
  <si>
    <t xml:space="preserve">Media X </t>
  </si>
  <si>
    <t xml:space="preserve">Media de Y </t>
  </si>
  <si>
    <t>Inte: constante</t>
  </si>
  <si>
    <t>Pendiente</t>
  </si>
  <si>
    <t>SSR</t>
  </si>
  <si>
    <t>SSE</t>
  </si>
  <si>
    <t>SST</t>
  </si>
  <si>
    <t>93.90%</t>
  </si>
  <si>
    <t>TABLA NOVA</t>
  </si>
  <si>
    <t>SS</t>
  </si>
  <si>
    <t xml:space="preserve">G de L </t>
  </si>
  <si>
    <t>Cuadro medio</t>
  </si>
  <si>
    <t xml:space="preserve">F- Estadistico </t>
  </si>
  <si>
    <t xml:space="preserve">Varianza </t>
  </si>
  <si>
    <t xml:space="preserve">D. Estandar </t>
  </si>
  <si>
    <t xml:space="preserve">Error estandar </t>
  </si>
  <si>
    <t xml:space="preserve">P.valor </t>
  </si>
  <si>
    <t xml:space="preserve">Var </t>
  </si>
  <si>
    <t>Var</t>
  </si>
  <si>
    <t>T-value</t>
  </si>
  <si>
    <t xml:space="preserve">P-valor </t>
  </si>
  <si>
    <t xml:space="preserve">T- value </t>
  </si>
  <si>
    <t>Regresión lineal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</si>
</sst>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"/>
    <numFmt numFmtId="188" formatCode="0.00000000000000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3F3F3F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3F3F76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6" fillId="4" borderId="3" applyNumberFormat="0" applyAlignment="0" applyProtection="0"/>
  </cellStyleXfs>
  <cellXfs count="48">
    <xf numFmtId="0" fontId="0" fillId="0" borderId="0" xfId="0" applyFont="1" applyAlignment="1"/>
    <xf numFmtId="0" fontId="1" fillId="0" borderId="0" xfId="0" applyFont="1" applyAlignment="1"/>
    <xf numFmtId="2" fontId="0" fillId="0" borderId="0" xfId="0" applyNumberFormat="1" applyFont="1" applyAlignment="1"/>
    <xf numFmtId="0" fontId="3" fillId="3" borderId="2" xfId="2" applyAlignment="1"/>
    <xf numFmtId="0" fontId="2" fillId="2" borderId="1" xfId="1" applyAlignment="1"/>
    <xf numFmtId="0" fontId="4" fillId="3" borderId="2" xfId="2" applyFont="1" applyAlignment="1"/>
    <xf numFmtId="0" fontId="5" fillId="0" borderId="0" xfId="0" applyFont="1" applyAlignment="1"/>
    <xf numFmtId="2" fontId="3" fillId="3" borderId="2" xfId="2" applyNumberFormat="1" applyAlignment="1"/>
    <xf numFmtId="164" fontId="0" fillId="5" borderId="0" xfId="0" applyNumberFormat="1" applyFont="1" applyFill="1" applyAlignment="1"/>
    <xf numFmtId="0" fontId="0" fillId="5" borderId="0" xfId="0" applyFont="1" applyFill="1" applyAlignment="1">
      <alignment horizontal="right"/>
    </xf>
    <xf numFmtId="165" fontId="2" fillId="2" borderId="1" xfId="1" applyNumberFormat="1" applyAlignment="1"/>
    <xf numFmtId="0" fontId="0" fillId="6" borderId="0" xfId="0" applyFont="1" applyFill="1" applyAlignment="1"/>
    <xf numFmtId="0" fontId="6" fillId="4" borderId="3" xfId="3" applyAlignment="1"/>
    <xf numFmtId="0" fontId="6" fillId="4" borderId="3" xfId="3" applyAlignment="1">
      <alignment horizontal="center"/>
    </xf>
    <xf numFmtId="0" fontId="2" fillId="2" borderId="7" xfId="1" applyBorder="1" applyAlignment="1">
      <alignment horizontal="center"/>
    </xf>
    <xf numFmtId="0" fontId="2" fillId="2" borderId="8" xfId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11" xfId="1" applyBorder="1" applyAlignment="1">
      <alignment horizontal="center"/>
    </xf>
    <xf numFmtId="0" fontId="2" fillId="2" borderId="12" xfId="1" applyBorder="1" applyAlignment="1">
      <alignment horizontal="center"/>
    </xf>
    <xf numFmtId="0" fontId="2" fillId="2" borderId="13" xfId="1" applyBorder="1" applyAlignment="1">
      <alignment horizontal="center"/>
    </xf>
    <xf numFmtId="0" fontId="2" fillId="2" borderId="14" xfId="1" applyBorder="1" applyAlignment="1">
      <alignment horizontal="center"/>
    </xf>
    <xf numFmtId="0" fontId="2" fillId="2" borderId="15" xfId="1" applyBorder="1" applyAlignment="1">
      <alignment horizontal="center"/>
    </xf>
    <xf numFmtId="0" fontId="2" fillId="2" borderId="1" xfId="1" applyAlignment="1">
      <alignment horizontal="center"/>
    </xf>
    <xf numFmtId="0" fontId="2" fillId="2" borderId="16" xfId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3" fillId="3" borderId="4" xfId="2" applyBorder="1" applyAlignment="1">
      <alignment horizontal="center"/>
    </xf>
    <xf numFmtId="0" fontId="3" fillId="3" borderId="5" xfId="2" applyBorder="1" applyAlignment="1">
      <alignment horizontal="center"/>
    </xf>
    <xf numFmtId="0" fontId="3" fillId="3" borderId="6" xfId="2" applyBorder="1" applyAlignment="1">
      <alignment horizontal="center"/>
    </xf>
    <xf numFmtId="0" fontId="6" fillId="4" borderId="0" xfId="3" applyBorder="1" applyAlignment="1"/>
    <xf numFmtId="0" fontId="0" fillId="0" borderId="0" xfId="0"/>
    <xf numFmtId="0" fontId="0" fillId="0" borderId="0" xfId="0" applyAlignment="1"/>
    <xf numFmtId="0" fontId="6" fillId="4" borderId="17" xfId="3" applyBorder="1" applyAlignment="1"/>
    <xf numFmtId="0" fontId="6" fillId="4" borderId="18" xfId="3" applyBorder="1" applyAlignment="1"/>
    <xf numFmtId="0" fontId="6" fillId="4" borderId="19" xfId="3" applyBorder="1" applyAlignment="1">
      <alignment horizontal="center"/>
    </xf>
    <xf numFmtId="0" fontId="6" fillId="4" borderId="20" xfId="3" applyBorder="1" applyAlignment="1">
      <alignment horizontal="center"/>
    </xf>
    <xf numFmtId="0" fontId="6" fillId="4" borderId="19" xfId="3" applyBorder="1" applyAlignment="1">
      <alignment horizontal="left"/>
    </xf>
    <xf numFmtId="0" fontId="6" fillId="4" borderId="20" xfId="3" applyBorder="1" applyAlignment="1">
      <alignment horizontal="left"/>
    </xf>
    <xf numFmtId="188" fontId="6" fillId="4" borderId="3" xfId="3" applyNumberFormat="1" applyAlignment="1"/>
    <xf numFmtId="0" fontId="7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9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</cellXfs>
  <cellStyles count="4">
    <cellStyle name="Celda de comprobación" xfId="2" builtinId="23"/>
    <cellStyle name="Entrada" xfId="3" builtinId="20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502920</xdr:colOff>
      <xdr:row>1</xdr:row>
      <xdr:rowOff>49930</xdr:rowOff>
    </xdr:from>
    <xdr:to>
      <xdr:col>3</xdr:col>
      <xdr:colOff>815340</xdr:colOff>
      <xdr:row>1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130F34-E3AE-40F5-BB12-A5957A83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580" y="240430"/>
          <a:ext cx="312420" cy="25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</xdr:row>
      <xdr:rowOff>48371</xdr:rowOff>
    </xdr:from>
    <xdr:to>
      <xdr:col>4</xdr:col>
      <xdr:colOff>761377</xdr:colOff>
      <xdr:row>1</xdr:row>
      <xdr:rowOff>411481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074CDD-FBB6-46CF-B5E8-91481D99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3380" y="238871"/>
          <a:ext cx="723277" cy="36311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</xdr:row>
      <xdr:rowOff>38102</xdr:rowOff>
    </xdr:from>
    <xdr:to>
      <xdr:col>5</xdr:col>
      <xdr:colOff>731520</xdr:colOff>
      <xdr:row>2</xdr:row>
      <xdr:rowOff>1724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9C80F0-F374-4E6A-8FE7-DA3ADDED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6360" y="228602"/>
          <a:ext cx="579120" cy="382722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</xdr:row>
      <xdr:rowOff>22860</xdr:rowOff>
    </xdr:from>
    <xdr:to>
      <xdr:col>6</xdr:col>
      <xdr:colOff>1280160</xdr:colOff>
      <xdr:row>1</xdr:row>
      <xdr:rowOff>379207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2F695F-6A56-4AC6-8D53-5643DEB64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1220" y="213360"/>
          <a:ext cx="1211580" cy="356347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1</xdr:row>
      <xdr:rowOff>38100</xdr:rowOff>
    </xdr:from>
    <xdr:to>
      <xdr:col>7</xdr:col>
      <xdr:colOff>807720</xdr:colOff>
      <xdr:row>1</xdr:row>
      <xdr:rowOff>327659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BE2447-4675-4AF4-B374-A0AE9050F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228600"/>
          <a:ext cx="800100" cy="289559"/>
        </a:xfrm>
        <a:prstGeom prst="rect">
          <a:avLst/>
        </a:prstGeom>
      </xdr:spPr>
    </xdr:pic>
    <xdr:clientData/>
  </xdr:twoCellAnchor>
  <xdr:twoCellAnchor editAs="oneCell">
    <xdr:from>
      <xdr:col>7</xdr:col>
      <xdr:colOff>220980</xdr:colOff>
      <xdr:row>30</xdr:row>
      <xdr:rowOff>15241</xdr:rowOff>
    </xdr:from>
    <xdr:to>
      <xdr:col>9</xdr:col>
      <xdr:colOff>502920</xdr:colOff>
      <xdr:row>31</xdr:row>
      <xdr:rowOff>119323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B23017-F98E-4868-A28F-B4C973F51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8560" y="5958841"/>
          <a:ext cx="2019300" cy="340302"/>
        </a:xfrm>
        <a:prstGeom prst="rect">
          <a:avLst/>
        </a:prstGeom>
      </xdr:spPr>
    </xdr:pic>
    <xdr:clientData/>
  </xdr:twoCellAnchor>
  <xdr:twoCellAnchor editAs="oneCell">
    <xdr:from>
      <xdr:col>10</xdr:col>
      <xdr:colOff>281941</xdr:colOff>
      <xdr:row>24</xdr:row>
      <xdr:rowOff>22861</xdr:rowOff>
    </xdr:from>
    <xdr:to>
      <xdr:col>10</xdr:col>
      <xdr:colOff>711709</xdr:colOff>
      <xdr:row>25</xdr:row>
      <xdr:rowOff>190501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1D9720-5F4C-493C-9B42-CE3B27370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95561" y="4777741"/>
          <a:ext cx="429768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167640</xdr:colOff>
      <xdr:row>30</xdr:row>
      <xdr:rowOff>91440</xdr:rowOff>
    </xdr:from>
    <xdr:to>
      <xdr:col>5</xdr:col>
      <xdr:colOff>601980</xdr:colOff>
      <xdr:row>32</xdr:row>
      <xdr:rowOff>11811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CBB982-4EAF-4248-9487-FBA5277A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73040" y="6233160"/>
          <a:ext cx="434340" cy="354711"/>
        </a:xfrm>
        <a:prstGeom prst="rect">
          <a:avLst/>
        </a:prstGeom>
      </xdr:spPr>
    </xdr:pic>
    <xdr:clientData/>
  </xdr:twoCellAnchor>
  <xdr:twoCellAnchor editAs="oneCell">
    <xdr:from>
      <xdr:col>5</xdr:col>
      <xdr:colOff>198120</xdr:colOff>
      <xdr:row>27</xdr:row>
      <xdr:rowOff>45720</xdr:rowOff>
    </xdr:from>
    <xdr:to>
      <xdr:col>5</xdr:col>
      <xdr:colOff>617220</xdr:colOff>
      <xdr:row>28</xdr:row>
      <xdr:rowOff>185584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5A7FD9F-BD63-4D66-9EA4-9F31D372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03520" y="5394960"/>
          <a:ext cx="419100" cy="337984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304801</xdr:colOff>
      <xdr:row>1</xdr:row>
      <xdr:rowOff>7621</xdr:rowOff>
    </xdr:from>
    <xdr:to>
      <xdr:col>8</xdr:col>
      <xdr:colOff>603436</xdr:colOff>
      <xdr:row>1</xdr:row>
      <xdr:rowOff>367621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9C1CA48-DC28-4187-9709-AB2A2E0C9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81061" y="198121"/>
          <a:ext cx="298635" cy="3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1</xdr:row>
      <xdr:rowOff>30480</xdr:rowOff>
    </xdr:from>
    <xdr:to>
      <xdr:col>9</xdr:col>
      <xdr:colOff>535349</xdr:colOff>
      <xdr:row>1</xdr:row>
      <xdr:rowOff>411533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1B741A1-0C3D-460C-AEE9-AADB71D4B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65920" y="220980"/>
          <a:ext cx="314369" cy="381053"/>
        </a:xfrm>
        <a:prstGeom prst="rect">
          <a:avLst/>
        </a:prstGeom>
      </xdr:spPr>
    </xdr:pic>
    <xdr:clientData/>
  </xdr:twoCellAnchor>
  <xdr:twoCellAnchor editAs="oneCell">
    <xdr:from>
      <xdr:col>10</xdr:col>
      <xdr:colOff>243840</xdr:colOff>
      <xdr:row>1</xdr:row>
      <xdr:rowOff>30480</xdr:rowOff>
    </xdr:from>
    <xdr:to>
      <xdr:col>10</xdr:col>
      <xdr:colOff>624893</xdr:colOff>
      <xdr:row>2</xdr:row>
      <xdr:rowOff>1960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098C4E0-E45F-455A-8F41-FB48AE97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57460" y="220980"/>
          <a:ext cx="381053" cy="3905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25</xdr:row>
      <xdr:rowOff>83820</xdr:rowOff>
    </xdr:from>
    <xdr:to>
      <xdr:col>1</xdr:col>
      <xdr:colOff>1082040</xdr:colOff>
      <xdr:row>27</xdr:row>
      <xdr:rowOff>99060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3D689FD-696D-4205-9E19-F06DFB25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9160" y="5036820"/>
          <a:ext cx="105156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30481</xdr:colOff>
      <xdr:row>25</xdr:row>
      <xdr:rowOff>106680</xdr:rowOff>
    </xdr:from>
    <xdr:to>
      <xdr:col>2</xdr:col>
      <xdr:colOff>1013461</xdr:colOff>
      <xdr:row>27</xdr:row>
      <xdr:rowOff>83820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CC6C8A1-0E2E-4D1F-BAC1-0B6A1B11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4061" y="5059680"/>
          <a:ext cx="98298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213361</xdr:colOff>
      <xdr:row>23</xdr:row>
      <xdr:rowOff>45720</xdr:rowOff>
    </xdr:from>
    <xdr:to>
      <xdr:col>6</xdr:col>
      <xdr:colOff>1287781</xdr:colOff>
      <xdr:row>25</xdr:row>
      <xdr:rowOff>167640</xdr:rowOff>
    </xdr:to>
    <xdr:pic>
      <xdr:nvPicPr>
        <xdr:cNvPr id="16" name="Picture 13">
          <a:extLst>
            <a:ext uri="{FF2B5EF4-FFF2-40B4-BE49-F238E27FC236}">
              <a16:creationId xmlns:a16="http://schemas.microsoft.com/office/drawing/2014/main" id="{9D7A2E70-99A0-4404-BF2F-85D818742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1" y="4602480"/>
          <a:ext cx="1074420" cy="51816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23</xdr:row>
      <xdr:rowOff>49474</xdr:rowOff>
    </xdr:from>
    <xdr:to>
      <xdr:col>7</xdr:col>
      <xdr:colOff>822960</xdr:colOff>
      <xdr:row>25</xdr:row>
      <xdr:rowOff>160019</xdr:rowOff>
    </xdr:to>
    <xdr:pic>
      <xdr:nvPicPr>
        <xdr:cNvPr id="17" name="Picture 14">
          <a:extLst>
            <a:ext uri="{FF2B5EF4-FFF2-40B4-BE49-F238E27FC236}">
              <a16:creationId xmlns:a16="http://schemas.microsoft.com/office/drawing/2014/main" id="{FDD96B8A-4307-46C8-AE95-A0A527CFC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68540" y="4606234"/>
          <a:ext cx="762000" cy="506785"/>
        </a:xfrm>
        <a:prstGeom prst="rect">
          <a:avLst/>
        </a:prstGeom>
      </xdr:spPr>
    </xdr:pic>
    <xdr:clientData/>
  </xdr:twoCellAnchor>
  <xdr:twoCellAnchor editAs="oneCell">
    <xdr:from>
      <xdr:col>7</xdr:col>
      <xdr:colOff>297181</xdr:colOff>
      <xdr:row>27</xdr:row>
      <xdr:rowOff>45720</xdr:rowOff>
    </xdr:from>
    <xdr:to>
      <xdr:col>8</xdr:col>
      <xdr:colOff>632461</xdr:colOff>
      <xdr:row>28</xdr:row>
      <xdr:rowOff>139085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77BA75F-7364-410D-AA03-D6737DA6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04761" y="5394960"/>
          <a:ext cx="1203960" cy="291485"/>
        </a:xfrm>
        <a:prstGeom prst="rect">
          <a:avLst/>
        </a:prstGeom>
      </xdr:spPr>
    </xdr:pic>
    <xdr:clientData/>
  </xdr:twoCellAnchor>
  <xdr:twoCellAnchor editAs="oneCell">
    <xdr:from>
      <xdr:col>15</xdr:col>
      <xdr:colOff>960120</xdr:colOff>
      <xdr:row>22</xdr:row>
      <xdr:rowOff>38100</xdr:rowOff>
    </xdr:from>
    <xdr:to>
      <xdr:col>16</xdr:col>
      <xdr:colOff>101009</xdr:colOff>
      <xdr:row>23</xdr:row>
      <xdr:rowOff>53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4E488BF-708C-4885-863C-4D7469672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08580" y="4206240"/>
          <a:ext cx="314369" cy="350573"/>
        </a:xfrm>
        <a:prstGeom prst="rect">
          <a:avLst/>
        </a:prstGeom>
      </xdr:spPr>
    </xdr:pic>
    <xdr:clientData/>
  </xdr:twoCellAnchor>
  <xdr:twoCellAnchor editAs="oneCell">
    <xdr:from>
      <xdr:col>15</xdr:col>
      <xdr:colOff>541020</xdr:colOff>
      <xdr:row>26</xdr:row>
      <xdr:rowOff>45720</xdr:rowOff>
    </xdr:from>
    <xdr:to>
      <xdr:col>15</xdr:col>
      <xdr:colOff>960120</xdr:colOff>
      <xdr:row>26</xdr:row>
      <xdr:rowOff>383704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FFBAFA-3DDA-43FC-A4DF-72D7F9E00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889480" y="5196840"/>
          <a:ext cx="419100" cy="337984"/>
        </a:xfrm>
        <a:prstGeom prst="rect">
          <a:avLst/>
        </a:prstGeom>
      </xdr:spPr>
    </xdr:pic>
    <xdr:clientData/>
  </xdr:twoCellAnchor>
  <xdr:twoCellAnchor editAs="oneCell">
    <xdr:from>
      <xdr:col>15</xdr:col>
      <xdr:colOff>647700</xdr:colOff>
      <xdr:row>31</xdr:row>
      <xdr:rowOff>22860</xdr:rowOff>
    </xdr:from>
    <xdr:to>
      <xdr:col>15</xdr:col>
      <xdr:colOff>1082040</xdr:colOff>
      <xdr:row>32</xdr:row>
      <xdr:rowOff>179451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1111A5E-2E72-49C1-BF81-38A7FB59D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96160" y="6400800"/>
          <a:ext cx="434340" cy="354711"/>
        </a:xfrm>
        <a:prstGeom prst="rect">
          <a:avLst/>
        </a:prstGeom>
      </xdr:spPr>
    </xdr:pic>
    <xdr:clientData/>
  </xdr:twoCellAnchor>
  <xdr:oneCellAnchor>
    <xdr:from>
      <xdr:col>4</xdr:col>
      <xdr:colOff>57151</xdr:colOff>
      <xdr:row>34</xdr:row>
      <xdr:rowOff>69850</xdr:rowOff>
    </xdr:from>
    <xdr:ext cx="2514600" cy="215900"/>
    <xdr:pic>
      <xdr:nvPicPr>
        <xdr:cNvPr id="23" name="image16.png" title="Imagen">
          <a:extLst>
            <a:ext uri="{FF2B5EF4-FFF2-40B4-BE49-F238E27FC236}">
              <a16:creationId xmlns:a16="http://schemas.microsoft.com/office/drawing/2014/main" id="{2ECD521B-787F-4A86-9C3C-C233F042CFEC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400551" y="5891530"/>
          <a:ext cx="2514600" cy="2159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8"/>
  <sheetViews>
    <sheetView tabSelected="1" topLeftCell="K3" zoomScale="73" zoomScaleNormal="73" workbookViewId="0">
      <selection activeCell="J37" sqref="J37"/>
    </sheetView>
  </sheetViews>
  <sheetFormatPr baseColWidth="10" defaultColWidth="12.6640625" defaultRowHeight="15.75" customHeight="1" x14ac:dyDescent="0.25"/>
  <cols>
    <col min="2" max="2" width="16.109375" customWidth="1"/>
    <col min="3" max="3" width="14.88671875" customWidth="1"/>
    <col min="4" max="4" width="16.77734375" customWidth="1"/>
    <col min="5" max="5" width="14" customWidth="1"/>
    <col min="7" max="7" width="20.77734375" customWidth="1"/>
    <col min="16" max="16" width="17.109375" customWidth="1"/>
    <col min="17" max="17" width="24.88671875" bestFit="1" customWidth="1"/>
    <col min="19" max="19" width="14.88671875" customWidth="1"/>
  </cols>
  <sheetData>
    <row r="1" spans="1:19" ht="15" customHeight="1" x14ac:dyDescent="0.25"/>
    <row r="2" spans="1:19" ht="33" customHeight="1" x14ac:dyDescent="0.25">
      <c r="A2" s="4" t="s">
        <v>0</v>
      </c>
      <c r="B2" s="4" t="s">
        <v>1</v>
      </c>
      <c r="C2" s="4" t="s">
        <v>2</v>
      </c>
      <c r="D2" s="1"/>
      <c r="L2" s="6" t="s">
        <v>9</v>
      </c>
      <c r="M2" s="6" t="s">
        <v>10</v>
      </c>
      <c r="N2" s="6" t="s">
        <v>11</v>
      </c>
    </row>
    <row r="3" spans="1:19" ht="13.8" x14ac:dyDescent="0.25">
      <c r="A3" s="4">
        <v>1</v>
      </c>
      <c r="B3" s="4">
        <v>3</v>
      </c>
      <c r="C3" s="4">
        <v>8</v>
      </c>
      <c r="D3">
        <f>B3^2</f>
        <v>9</v>
      </c>
      <c r="E3">
        <f t="shared" ref="E3:E22" si="0">B3 - $B$24</f>
        <v>-4</v>
      </c>
      <c r="F3">
        <f t="shared" ref="F3:F22" si="1">C3 - $C$24</f>
        <v>-6.1999999999999993</v>
      </c>
      <c r="G3">
        <f>E3 * F3</f>
        <v>24.799999999999997</v>
      </c>
      <c r="H3">
        <f>E3^2</f>
        <v>16</v>
      </c>
      <c r="I3" s="2">
        <f t="shared" ref="I3:I22" si="2">$G$28+$G$31*B3</f>
        <v>7.333333333333333</v>
      </c>
      <c r="J3" s="2">
        <f>C3-I3</f>
        <v>0.66666666666666696</v>
      </c>
      <c r="K3" s="2">
        <f>J3^2</f>
        <v>0.44444444444444486</v>
      </c>
      <c r="L3" s="2">
        <f>(I3-$C$24)^2</f>
        <v>47.151111111111106</v>
      </c>
      <c r="M3" s="2">
        <f>(C3-I3)^2</f>
        <v>0.44444444444444486</v>
      </c>
      <c r="N3">
        <f>(C3-$C$24)^2</f>
        <v>38.439999999999991</v>
      </c>
    </row>
    <row r="4" spans="1:19" ht="13.8" x14ac:dyDescent="0.25">
      <c r="A4" s="4">
        <v>2</v>
      </c>
      <c r="B4" s="4">
        <v>4</v>
      </c>
      <c r="C4" s="4">
        <v>9</v>
      </c>
      <c r="D4">
        <f t="shared" ref="D4:D22" si="3">B4^2</f>
        <v>16</v>
      </c>
      <c r="E4">
        <f t="shared" si="0"/>
        <v>-3</v>
      </c>
      <c r="F4">
        <f t="shared" si="1"/>
        <v>-5.1999999999999993</v>
      </c>
      <c r="G4">
        <f t="shared" ref="G4:G22" si="4">E4 * F4</f>
        <v>15.599999999999998</v>
      </c>
      <c r="H4">
        <f t="shared" ref="H4:H22" si="5">E4^2</f>
        <v>9</v>
      </c>
      <c r="I4" s="2">
        <f t="shared" si="2"/>
        <v>9.0500000000000007</v>
      </c>
      <c r="J4" s="2">
        <f t="shared" ref="J4:J22" si="6">C4-I4</f>
        <v>-5.0000000000000711E-2</v>
      </c>
      <c r="K4" s="2">
        <f t="shared" ref="K4:K22" si="7">J4^2</f>
        <v>2.5000000000000712E-3</v>
      </c>
      <c r="L4" s="2">
        <f t="shared" ref="L4:L22" si="8">(I4-$C$24)^2</f>
        <v>26.522499999999987</v>
      </c>
      <c r="M4" s="2">
        <f t="shared" ref="M4:M22" si="9">(C4-I4)^2</f>
        <v>2.5000000000000712E-3</v>
      </c>
      <c r="N4">
        <f t="shared" ref="N4:N22" si="10">(C4-$C$24)^2</f>
        <v>27.039999999999992</v>
      </c>
    </row>
    <row r="5" spans="1:19" ht="13.8" x14ac:dyDescent="0.25">
      <c r="A5" s="4">
        <v>3</v>
      </c>
      <c r="B5" s="4">
        <v>5</v>
      </c>
      <c r="C5" s="4">
        <v>11</v>
      </c>
      <c r="D5">
        <f t="shared" si="3"/>
        <v>25</v>
      </c>
      <c r="E5">
        <f t="shared" si="0"/>
        <v>-2</v>
      </c>
      <c r="F5">
        <f t="shared" si="1"/>
        <v>-3.1999999999999993</v>
      </c>
      <c r="G5">
        <f t="shared" si="4"/>
        <v>6.3999999999999986</v>
      </c>
      <c r="H5">
        <f t="shared" si="5"/>
        <v>4</v>
      </c>
      <c r="I5" s="2">
        <f t="shared" si="2"/>
        <v>10.766666666666666</v>
      </c>
      <c r="J5" s="2">
        <f t="shared" si="6"/>
        <v>0.23333333333333428</v>
      </c>
      <c r="K5" s="2">
        <f t="shared" si="7"/>
        <v>5.4444444444444885E-2</v>
      </c>
      <c r="L5" s="2">
        <f t="shared" si="8"/>
        <v>11.78777777777778</v>
      </c>
      <c r="M5" s="2">
        <f t="shared" si="9"/>
        <v>5.4444444444444885E-2</v>
      </c>
      <c r="N5">
        <f t="shared" si="10"/>
        <v>10.239999999999995</v>
      </c>
    </row>
    <row r="6" spans="1:19" ht="13.8" x14ac:dyDescent="0.25">
      <c r="A6" s="4">
        <v>4</v>
      </c>
      <c r="B6" s="4">
        <v>6</v>
      </c>
      <c r="C6" s="4">
        <v>12</v>
      </c>
      <c r="D6">
        <f t="shared" si="3"/>
        <v>36</v>
      </c>
      <c r="E6">
        <f t="shared" si="0"/>
        <v>-1</v>
      </c>
      <c r="F6">
        <f t="shared" si="1"/>
        <v>-2.1999999999999993</v>
      </c>
      <c r="G6">
        <f t="shared" si="4"/>
        <v>2.1999999999999993</v>
      </c>
      <c r="H6">
        <f t="shared" si="5"/>
        <v>1</v>
      </c>
      <c r="I6" s="2">
        <f t="shared" si="2"/>
        <v>12.483333333333333</v>
      </c>
      <c r="J6" s="2">
        <f t="shared" si="6"/>
        <v>-0.4833333333333325</v>
      </c>
      <c r="K6" s="2">
        <f t="shared" si="7"/>
        <v>0.2336111111111103</v>
      </c>
      <c r="L6" s="2">
        <f t="shared" si="8"/>
        <v>2.946944444444445</v>
      </c>
      <c r="M6" s="2">
        <f t="shared" si="9"/>
        <v>0.2336111111111103</v>
      </c>
      <c r="N6">
        <f t="shared" si="10"/>
        <v>4.8399999999999972</v>
      </c>
    </row>
    <row r="7" spans="1:19" ht="13.8" x14ac:dyDescent="0.25">
      <c r="A7" s="4">
        <v>5</v>
      </c>
      <c r="B7" s="4">
        <v>7</v>
      </c>
      <c r="C7" s="4">
        <v>15</v>
      </c>
      <c r="D7">
        <f t="shared" si="3"/>
        <v>49</v>
      </c>
      <c r="E7">
        <f t="shared" si="0"/>
        <v>0</v>
      </c>
      <c r="F7">
        <f t="shared" si="1"/>
        <v>0.80000000000000071</v>
      </c>
      <c r="G7">
        <f t="shared" si="4"/>
        <v>0</v>
      </c>
      <c r="H7">
        <f t="shared" si="5"/>
        <v>0</v>
      </c>
      <c r="I7" s="2">
        <f t="shared" si="2"/>
        <v>14.2</v>
      </c>
      <c r="J7" s="2">
        <f t="shared" si="6"/>
        <v>0.80000000000000071</v>
      </c>
      <c r="K7" s="2">
        <f t="shared" si="7"/>
        <v>0.64000000000000112</v>
      </c>
      <c r="L7" s="2">
        <f t="shared" si="8"/>
        <v>0</v>
      </c>
      <c r="M7" s="2">
        <f t="shared" si="9"/>
        <v>0.64000000000000112</v>
      </c>
      <c r="N7">
        <f t="shared" si="10"/>
        <v>0.64000000000000112</v>
      </c>
    </row>
    <row r="8" spans="1:19" ht="14.4" thickBot="1" x14ac:dyDescent="0.3">
      <c r="A8" s="4">
        <v>6</v>
      </c>
      <c r="B8" s="4">
        <v>8</v>
      </c>
      <c r="C8" s="4">
        <v>16</v>
      </c>
      <c r="D8">
        <f t="shared" si="3"/>
        <v>64</v>
      </c>
      <c r="E8">
        <f t="shared" si="0"/>
        <v>1</v>
      </c>
      <c r="F8">
        <f t="shared" si="1"/>
        <v>1.8000000000000007</v>
      </c>
      <c r="G8">
        <f t="shared" si="4"/>
        <v>1.8000000000000007</v>
      </c>
      <c r="H8">
        <f t="shared" si="5"/>
        <v>1</v>
      </c>
      <c r="I8" s="2">
        <f t="shared" si="2"/>
        <v>15.916666666666666</v>
      </c>
      <c r="J8" s="2">
        <f t="shared" si="6"/>
        <v>8.3333333333333925E-2</v>
      </c>
      <c r="K8" s="2">
        <f t="shared" si="7"/>
        <v>6.9444444444445429E-3</v>
      </c>
      <c r="L8" s="2">
        <f t="shared" si="8"/>
        <v>2.946944444444445</v>
      </c>
      <c r="M8" s="2">
        <f t="shared" si="9"/>
        <v>6.9444444444445429E-3</v>
      </c>
      <c r="N8">
        <f t="shared" si="10"/>
        <v>3.2400000000000024</v>
      </c>
    </row>
    <row r="9" spans="1:19" ht="15" thickTop="1" thickBot="1" x14ac:dyDescent="0.3">
      <c r="A9" s="4">
        <v>7</v>
      </c>
      <c r="B9" s="4">
        <v>9</v>
      </c>
      <c r="C9" s="4">
        <v>18</v>
      </c>
      <c r="D9">
        <f t="shared" si="3"/>
        <v>81</v>
      </c>
      <c r="E9">
        <f t="shared" si="0"/>
        <v>2</v>
      </c>
      <c r="F9">
        <f t="shared" si="1"/>
        <v>3.8000000000000007</v>
      </c>
      <c r="G9">
        <f t="shared" si="4"/>
        <v>7.6000000000000014</v>
      </c>
      <c r="H9">
        <f t="shared" si="5"/>
        <v>4</v>
      </c>
      <c r="I9" s="2">
        <f t="shared" si="2"/>
        <v>17.633333333333333</v>
      </c>
      <c r="J9" s="2">
        <f t="shared" si="6"/>
        <v>0.36666666666666714</v>
      </c>
      <c r="K9" s="2">
        <f t="shared" si="7"/>
        <v>0.13444444444444478</v>
      </c>
      <c r="L9" s="2">
        <f t="shared" si="8"/>
        <v>11.78777777777778</v>
      </c>
      <c r="M9" s="2">
        <f t="shared" si="9"/>
        <v>0.13444444444444478</v>
      </c>
      <c r="N9">
        <f t="shared" si="10"/>
        <v>14.440000000000005</v>
      </c>
      <c r="P9" s="5" t="s">
        <v>13</v>
      </c>
      <c r="Q9" s="3" t="s">
        <v>14</v>
      </c>
      <c r="R9" s="3" t="s">
        <v>15</v>
      </c>
      <c r="S9" s="3" t="s">
        <v>16</v>
      </c>
    </row>
    <row r="10" spans="1:19" ht="14.4" thickTop="1" x14ac:dyDescent="0.25">
      <c r="A10" s="4">
        <v>8</v>
      </c>
      <c r="B10" s="4">
        <v>10</v>
      </c>
      <c r="C10" s="4">
        <v>20</v>
      </c>
      <c r="D10">
        <f t="shared" si="3"/>
        <v>100</v>
      </c>
      <c r="E10">
        <f t="shared" si="0"/>
        <v>3</v>
      </c>
      <c r="F10">
        <f t="shared" si="1"/>
        <v>5.8000000000000007</v>
      </c>
      <c r="G10">
        <f t="shared" si="4"/>
        <v>17.400000000000002</v>
      </c>
      <c r="H10">
        <f t="shared" si="5"/>
        <v>9</v>
      </c>
      <c r="I10" s="2">
        <f t="shared" si="2"/>
        <v>19.349999999999998</v>
      </c>
      <c r="J10" s="2">
        <f t="shared" si="6"/>
        <v>0.65000000000000213</v>
      </c>
      <c r="K10" s="2">
        <f t="shared" si="7"/>
        <v>0.42250000000000276</v>
      </c>
      <c r="L10" s="2">
        <f t="shared" si="8"/>
        <v>26.522499999999987</v>
      </c>
      <c r="M10" s="2">
        <f t="shared" si="9"/>
        <v>0.42250000000000276</v>
      </c>
      <c r="N10">
        <f t="shared" si="10"/>
        <v>33.640000000000008</v>
      </c>
      <c r="P10" s="4" t="s">
        <v>9</v>
      </c>
      <c r="Q10" s="4">
        <v>707.27</v>
      </c>
      <c r="R10" s="4">
        <f>2-1</f>
        <v>1</v>
      </c>
      <c r="S10" s="10">
        <f>Q10/R10</f>
        <v>707.27</v>
      </c>
    </row>
    <row r="11" spans="1:19" ht="13.8" x14ac:dyDescent="0.25">
      <c r="A11" s="4">
        <v>9</v>
      </c>
      <c r="B11" s="4">
        <v>4</v>
      </c>
      <c r="C11" s="4">
        <v>8</v>
      </c>
      <c r="D11">
        <f t="shared" si="3"/>
        <v>16</v>
      </c>
      <c r="E11">
        <f t="shared" si="0"/>
        <v>-3</v>
      </c>
      <c r="F11">
        <f t="shared" si="1"/>
        <v>-6.1999999999999993</v>
      </c>
      <c r="G11">
        <f t="shared" si="4"/>
        <v>18.599999999999998</v>
      </c>
      <c r="H11">
        <f t="shared" si="5"/>
        <v>9</v>
      </c>
      <c r="I11" s="2">
        <f t="shared" si="2"/>
        <v>9.0500000000000007</v>
      </c>
      <c r="J11" s="2">
        <f t="shared" si="6"/>
        <v>-1.0500000000000007</v>
      </c>
      <c r="K11" s="2">
        <f t="shared" si="7"/>
        <v>1.1025000000000016</v>
      </c>
      <c r="L11" s="2">
        <f t="shared" si="8"/>
        <v>26.522499999999987</v>
      </c>
      <c r="M11" s="2">
        <f t="shared" si="9"/>
        <v>1.1025000000000016</v>
      </c>
      <c r="N11">
        <f t="shared" si="10"/>
        <v>38.439999999999991</v>
      </c>
      <c r="P11" s="4" t="s">
        <v>10</v>
      </c>
      <c r="Q11" s="4">
        <v>45.93</v>
      </c>
      <c r="R11" s="4">
        <f>20-2</f>
        <v>18</v>
      </c>
      <c r="S11" s="4">
        <f>Q11/R11</f>
        <v>2.5516666666666667</v>
      </c>
    </row>
    <row r="12" spans="1:19" ht="13.8" x14ac:dyDescent="0.25">
      <c r="A12" s="4">
        <v>10</v>
      </c>
      <c r="B12" s="4">
        <v>11</v>
      </c>
      <c r="C12" s="4">
        <v>20</v>
      </c>
      <c r="D12">
        <f t="shared" si="3"/>
        <v>121</v>
      </c>
      <c r="E12">
        <f t="shared" si="0"/>
        <v>4</v>
      </c>
      <c r="F12">
        <f t="shared" si="1"/>
        <v>5.8000000000000007</v>
      </c>
      <c r="G12">
        <f t="shared" si="4"/>
        <v>23.200000000000003</v>
      </c>
      <c r="H12">
        <f t="shared" si="5"/>
        <v>16</v>
      </c>
      <c r="I12" s="2">
        <f t="shared" si="2"/>
        <v>21.066666666666666</v>
      </c>
      <c r="J12" s="2">
        <f t="shared" si="6"/>
        <v>-1.0666666666666664</v>
      </c>
      <c r="K12" s="2">
        <f t="shared" si="7"/>
        <v>1.1377777777777773</v>
      </c>
      <c r="L12" s="2">
        <f t="shared" si="8"/>
        <v>47.151111111111121</v>
      </c>
      <c r="M12" s="2">
        <f t="shared" si="9"/>
        <v>1.1377777777777773</v>
      </c>
      <c r="N12">
        <f t="shared" si="10"/>
        <v>33.640000000000008</v>
      </c>
      <c r="P12" s="4" t="s">
        <v>11</v>
      </c>
      <c r="Q12" s="4">
        <v>753.2</v>
      </c>
      <c r="R12" s="4">
        <f>20-1</f>
        <v>19</v>
      </c>
      <c r="S12" s="4">
        <f>Q12/R12</f>
        <v>39.642105263157895</v>
      </c>
    </row>
    <row r="13" spans="1:19" ht="13.8" x14ac:dyDescent="0.25">
      <c r="A13" s="4">
        <v>11</v>
      </c>
      <c r="B13" s="4">
        <v>2</v>
      </c>
      <c r="C13" s="4">
        <v>5</v>
      </c>
      <c r="D13">
        <f t="shared" si="3"/>
        <v>4</v>
      </c>
      <c r="E13">
        <f t="shared" si="0"/>
        <v>-5</v>
      </c>
      <c r="F13">
        <f t="shared" si="1"/>
        <v>-9.1999999999999993</v>
      </c>
      <c r="G13">
        <f t="shared" si="4"/>
        <v>46</v>
      </c>
      <c r="H13">
        <f t="shared" si="5"/>
        <v>25</v>
      </c>
      <c r="I13" s="2">
        <f t="shared" si="2"/>
        <v>5.6166666666666671</v>
      </c>
      <c r="J13" s="2">
        <f t="shared" si="6"/>
        <v>-0.61666666666666714</v>
      </c>
      <c r="K13" s="2">
        <f t="shared" si="7"/>
        <v>0.38027777777777838</v>
      </c>
      <c r="L13" s="2">
        <f t="shared" si="8"/>
        <v>73.673611111111086</v>
      </c>
      <c r="M13" s="2">
        <f t="shared" si="9"/>
        <v>0.38027777777777838</v>
      </c>
      <c r="N13">
        <f t="shared" si="10"/>
        <v>84.639999999999986</v>
      </c>
    </row>
    <row r="14" spans="1:19" ht="13.8" x14ac:dyDescent="0.25">
      <c r="A14" s="4">
        <v>12</v>
      </c>
      <c r="B14" s="4">
        <v>6</v>
      </c>
      <c r="C14" s="4">
        <v>11</v>
      </c>
      <c r="D14">
        <f t="shared" si="3"/>
        <v>36</v>
      </c>
      <c r="E14">
        <f t="shared" si="0"/>
        <v>-1</v>
      </c>
      <c r="F14">
        <f t="shared" si="1"/>
        <v>-3.1999999999999993</v>
      </c>
      <c r="G14">
        <f t="shared" si="4"/>
        <v>3.1999999999999993</v>
      </c>
      <c r="H14">
        <f t="shared" si="5"/>
        <v>1</v>
      </c>
      <c r="I14" s="2">
        <f t="shared" si="2"/>
        <v>12.483333333333333</v>
      </c>
      <c r="J14" s="2">
        <f t="shared" si="6"/>
        <v>-1.4833333333333325</v>
      </c>
      <c r="K14" s="2">
        <f t="shared" si="7"/>
        <v>2.2002777777777753</v>
      </c>
      <c r="L14" s="2">
        <f t="shared" si="8"/>
        <v>2.946944444444445</v>
      </c>
      <c r="M14" s="2">
        <f t="shared" si="9"/>
        <v>2.2002777777777753</v>
      </c>
      <c r="N14">
        <f t="shared" si="10"/>
        <v>10.239999999999995</v>
      </c>
    </row>
    <row r="15" spans="1:19" ht="13.8" x14ac:dyDescent="0.25">
      <c r="A15" s="4">
        <v>13</v>
      </c>
      <c r="B15" s="4">
        <v>9</v>
      </c>
      <c r="C15" s="4">
        <v>15</v>
      </c>
      <c r="D15">
        <f t="shared" si="3"/>
        <v>81</v>
      </c>
      <c r="E15">
        <f t="shared" si="0"/>
        <v>2</v>
      </c>
      <c r="F15">
        <f t="shared" si="1"/>
        <v>0.80000000000000071</v>
      </c>
      <c r="G15">
        <f t="shared" si="4"/>
        <v>1.6000000000000014</v>
      </c>
      <c r="H15">
        <f t="shared" si="5"/>
        <v>4</v>
      </c>
      <c r="I15" s="2">
        <f t="shared" si="2"/>
        <v>17.633333333333333</v>
      </c>
      <c r="J15" s="2">
        <f t="shared" si="6"/>
        <v>-2.6333333333333329</v>
      </c>
      <c r="K15" s="2">
        <f t="shared" si="7"/>
        <v>6.9344444444444422</v>
      </c>
      <c r="L15" s="2">
        <f t="shared" si="8"/>
        <v>11.78777777777778</v>
      </c>
      <c r="M15" s="2">
        <f t="shared" si="9"/>
        <v>6.9344444444444422</v>
      </c>
      <c r="N15">
        <f t="shared" si="10"/>
        <v>0.64000000000000112</v>
      </c>
    </row>
    <row r="16" spans="1:19" ht="13.8" x14ac:dyDescent="0.25">
      <c r="A16" s="4">
        <v>14</v>
      </c>
      <c r="B16" s="4">
        <v>11</v>
      </c>
      <c r="C16" s="4">
        <v>23</v>
      </c>
      <c r="D16">
        <f t="shared" si="3"/>
        <v>121</v>
      </c>
      <c r="E16">
        <f t="shared" si="0"/>
        <v>4</v>
      </c>
      <c r="F16">
        <f t="shared" si="1"/>
        <v>8.8000000000000007</v>
      </c>
      <c r="G16">
        <f t="shared" si="4"/>
        <v>35.200000000000003</v>
      </c>
      <c r="H16">
        <f t="shared" si="5"/>
        <v>16</v>
      </c>
      <c r="I16" s="2">
        <f t="shared" si="2"/>
        <v>21.066666666666666</v>
      </c>
      <c r="J16" s="2">
        <f t="shared" si="6"/>
        <v>1.9333333333333336</v>
      </c>
      <c r="K16" s="2">
        <f t="shared" si="7"/>
        <v>3.7377777777777785</v>
      </c>
      <c r="L16" s="2">
        <f t="shared" si="8"/>
        <v>47.151111111111121</v>
      </c>
      <c r="M16" s="2">
        <f t="shared" si="9"/>
        <v>3.7377777777777785</v>
      </c>
      <c r="N16">
        <f t="shared" si="10"/>
        <v>77.440000000000012</v>
      </c>
    </row>
    <row r="17" spans="1:17" ht="13.8" x14ac:dyDescent="0.25">
      <c r="A17" s="4">
        <v>15</v>
      </c>
      <c r="B17" s="4">
        <v>15</v>
      </c>
      <c r="C17" s="4">
        <v>30</v>
      </c>
      <c r="D17">
        <f t="shared" si="3"/>
        <v>225</v>
      </c>
      <c r="E17">
        <f t="shared" si="0"/>
        <v>8</v>
      </c>
      <c r="F17">
        <f t="shared" si="1"/>
        <v>15.8</v>
      </c>
      <c r="G17">
        <f t="shared" si="4"/>
        <v>126.4</v>
      </c>
      <c r="H17">
        <f t="shared" si="5"/>
        <v>64</v>
      </c>
      <c r="I17" s="2">
        <f t="shared" si="2"/>
        <v>27.933333333333334</v>
      </c>
      <c r="J17" s="2">
        <f t="shared" si="6"/>
        <v>2.0666666666666664</v>
      </c>
      <c r="K17" s="2">
        <f t="shared" si="7"/>
        <v>4.27111111111111</v>
      </c>
      <c r="L17" s="2">
        <f t="shared" si="8"/>
        <v>188.60444444444448</v>
      </c>
      <c r="M17" s="2">
        <f t="shared" si="9"/>
        <v>4.27111111111111</v>
      </c>
      <c r="N17">
        <f t="shared" si="10"/>
        <v>249.64000000000001</v>
      </c>
      <c r="P17" s="11" t="s">
        <v>17</v>
      </c>
      <c r="Q17" s="11">
        <f>S10/S11</f>
        <v>277.1796211626388</v>
      </c>
    </row>
    <row r="18" spans="1:17" ht="13.8" x14ac:dyDescent="0.25">
      <c r="A18" s="4">
        <v>16</v>
      </c>
      <c r="B18" s="4">
        <v>8</v>
      </c>
      <c r="C18" s="4">
        <v>12</v>
      </c>
      <c r="D18">
        <f t="shared" si="3"/>
        <v>64</v>
      </c>
      <c r="E18">
        <f t="shared" si="0"/>
        <v>1</v>
      </c>
      <c r="F18">
        <f t="shared" si="1"/>
        <v>-2.1999999999999993</v>
      </c>
      <c r="G18">
        <f t="shared" si="4"/>
        <v>-2.1999999999999993</v>
      </c>
      <c r="H18">
        <f t="shared" si="5"/>
        <v>1</v>
      </c>
      <c r="I18" s="2">
        <f t="shared" si="2"/>
        <v>15.916666666666666</v>
      </c>
      <c r="J18" s="2">
        <f t="shared" si="6"/>
        <v>-3.9166666666666661</v>
      </c>
      <c r="K18" s="2">
        <f t="shared" si="7"/>
        <v>15.340277777777773</v>
      </c>
      <c r="L18" s="2">
        <f t="shared" si="8"/>
        <v>2.946944444444445</v>
      </c>
      <c r="M18" s="2">
        <f t="shared" si="9"/>
        <v>15.340277777777773</v>
      </c>
      <c r="N18">
        <f t="shared" si="10"/>
        <v>4.8399999999999972</v>
      </c>
    </row>
    <row r="19" spans="1:17" ht="13.8" x14ac:dyDescent="0.25">
      <c r="A19" s="4">
        <v>17</v>
      </c>
      <c r="B19" s="4">
        <v>2</v>
      </c>
      <c r="C19" s="4">
        <v>7</v>
      </c>
      <c r="D19">
        <f t="shared" si="3"/>
        <v>4</v>
      </c>
      <c r="E19">
        <f t="shared" si="0"/>
        <v>-5</v>
      </c>
      <c r="F19">
        <f t="shared" si="1"/>
        <v>-7.1999999999999993</v>
      </c>
      <c r="G19">
        <f t="shared" si="4"/>
        <v>36</v>
      </c>
      <c r="H19">
        <f t="shared" si="5"/>
        <v>25</v>
      </c>
      <c r="I19" s="2">
        <f t="shared" si="2"/>
        <v>5.6166666666666671</v>
      </c>
      <c r="J19" s="2">
        <f t="shared" si="6"/>
        <v>1.3833333333333329</v>
      </c>
      <c r="K19" s="2">
        <f t="shared" si="7"/>
        <v>1.9136111111111098</v>
      </c>
      <c r="L19" s="2">
        <f t="shared" si="8"/>
        <v>73.673611111111086</v>
      </c>
      <c r="M19" s="2">
        <f t="shared" si="9"/>
        <v>1.9136111111111098</v>
      </c>
      <c r="N19">
        <f t="shared" si="10"/>
        <v>51.839999999999989</v>
      </c>
    </row>
    <row r="20" spans="1:17" ht="13.8" x14ac:dyDescent="0.25">
      <c r="A20" s="4">
        <v>18</v>
      </c>
      <c r="B20" s="4">
        <v>2</v>
      </c>
      <c r="C20" s="4">
        <v>8</v>
      </c>
      <c r="D20">
        <f t="shared" si="3"/>
        <v>4</v>
      </c>
      <c r="E20">
        <f t="shared" si="0"/>
        <v>-5</v>
      </c>
      <c r="F20">
        <f t="shared" si="1"/>
        <v>-6.1999999999999993</v>
      </c>
      <c r="G20">
        <f t="shared" si="4"/>
        <v>30.999999999999996</v>
      </c>
      <c r="H20">
        <f t="shared" si="5"/>
        <v>25</v>
      </c>
      <c r="I20" s="2">
        <f t="shared" si="2"/>
        <v>5.6166666666666671</v>
      </c>
      <c r="J20" s="2">
        <f t="shared" si="6"/>
        <v>2.3833333333333329</v>
      </c>
      <c r="K20" s="2">
        <f t="shared" si="7"/>
        <v>5.6802777777777758</v>
      </c>
      <c r="L20" s="2">
        <f t="shared" si="8"/>
        <v>73.673611111111086</v>
      </c>
      <c r="M20" s="2">
        <f t="shared" si="9"/>
        <v>5.6802777777777758</v>
      </c>
      <c r="N20">
        <f t="shared" si="10"/>
        <v>38.439999999999991</v>
      </c>
    </row>
    <row r="21" spans="1:17" ht="13.8" x14ac:dyDescent="0.25">
      <c r="A21" s="4">
        <v>19</v>
      </c>
      <c r="B21" s="4">
        <v>8</v>
      </c>
      <c r="C21" s="4">
        <v>17</v>
      </c>
      <c r="D21">
        <f t="shared" si="3"/>
        <v>64</v>
      </c>
      <c r="E21">
        <f t="shared" si="0"/>
        <v>1</v>
      </c>
      <c r="F21">
        <f t="shared" si="1"/>
        <v>2.8000000000000007</v>
      </c>
      <c r="G21">
        <f t="shared" si="4"/>
        <v>2.8000000000000007</v>
      </c>
      <c r="H21">
        <f t="shared" si="5"/>
        <v>1</v>
      </c>
      <c r="I21" s="2">
        <f t="shared" si="2"/>
        <v>15.916666666666666</v>
      </c>
      <c r="J21" s="2">
        <f t="shared" si="6"/>
        <v>1.0833333333333339</v>
      </c>
      <c r="K21" s="2">
        <f t="shared" si="7"/>
        <v>1.1736111111111125</v>
      </c>
      <c r="L21" s="2">
        <f t="shared" si="8"/>
        <v>2.946944444444445</v>
      </c>
      <c r="M21" s="2">
        <f t="shared" si="9"/>
        <v>1.1736111111111125</v>
      </c>
      <c r="N21">
        <f t="shared" si="10"/>
        <v>7.8400000000000043</v>
      </c>
    </row>
    <row r="22" spans="1:17" ht="15.75" customHeight="1" thickBot="1" x14ac:dyDescent="0.3">
      <c r="A22" s="4">
        <v>20</v>
      </c>
      <c r="B22" s="4">
        <v>10</v>
      </c>
      <c r="C22" s="4">
        <v>19</v>
      </c>
      <c r="D22">
        <f t="shared" si="3"/>
        <v>100</v>
      </c>
      <c r="E22">
        <f t="shared" si="0"/>
        <v>3</v>
      </c>
      <c r="F22">
        <f t="shared" si="1"/>
        <v>4.8000000000000007</v>
      </c>
      <c r="G22">
        <f t="shared" si="4"/>
        <v>14.400000000000002</v>
      </c>
      <c r="H22">
        <f t="shared" si="5"/>
        <v>9</v>
      </c>
      <c r="I22" s="2">
        <f t="shared" si="2"/>
        <v>19.349999999999998</v>
      </c>
      <c r="J22" s="2">
        <f t="shared" si="6"/>
        <v>-0.34999999999999787</v>
      </c>
      <c r="K22" s="2">
        <f t="shared" si="7"/>
        <v>0.12249999999999851</v>
      </c>
      <c r="L22" s="2">
        <f t="shared" si="8"/>
        <v>26.522499999999987</v>
      </c>
      <c r="M22" s="2">
        <f t="shared" si="9"/>
        <v>0.12249999999999851</v>
      </c>
      <c r="N22">
        <f t="shared" si="10"/>
        <v>23.040000000000006</v>
      </c>
    </row>
    <row r="23" spans="1:17" ht="30.6" customHeight="1" thickTop="1" thickBot="1" x14ac:dyDescent="0.3">
      <c r="A23" s="3"/>
      <c r="B23" s="3"/>
      <c r="C23" s="3"/>
      <c r="D23" s="3"/>
      <c r="E23" s="3"/>
      <c r="F23" s="3"/>
      <c r="G23" s="3">
        <f>SUM(G3:G22)</f>
        <v>412</v>
      </c>
      <c r="H23" s="3">
        <f>SUM(H3:H22)</f>
        <v>240</v>
      </c>
      <c r="I23" s="7"/>
      <c r="J23" s="7">
        <f>SUM(J3:J22)</f>
        <v>7.9936057773011271E-15</v>
      </c>
      <c r="K23" s="7">
        <f>SUM(K3:K22)</f>
        <v>45.933333333333323</v>
      </c>
      <c r="L23" s="7">
        <f>SUM(L3:L22)</f>
        <v>707.26666666666642</v>
      </c>
      <c r="M23" s="7">
        <f>SUM(M3:M22)</f>
        <v>45.933333333333323</v>
      </c>
      <c r="N23" s="3">
        <f>SUM(N3:N22)</f>
        <v>753.2</v>
      </c>
      <c r="P23" s="13"/>
      <c r="Q23" s="13"/>
    </row>
    <row r="24" spans="1:17" ht="15.75" customHeight="1" thickTop="1" x14ac:dyDescent="0.25">
      <c r="A24" t="s">
        <v>3</v>
      </c>
      <c r="B24">
        <f>SUM(B3:B22)/20</f>
        <v>7</v>
      </c>
      <c r="C24">
        <f>SUM(C3,C4,C5,C6,C7,C8,C9,C10,C12,C11,C13,C14,C15,C16,C17,C18,C19,C20,C21,C22)/20</f>
        <v>14.2</v>
      </c>
      <c r="G24" s="23"/>
      <c r="H24" s="14"/>
      <c r="P24" s="12" t="s">
        <v>18</v>
      </c>
      <c r="Q24" s="12">
        <f>K23/(20-2)</f>
        <v>2.5518518518518514</v>
      </c>
    </row>
    <row r="25" spans="1:17" ht="15.75" customHeight="1" thickBot="1" x14ac:dyDescent="0.3">
      <c r="A25" t="s">
        <v>4</v>
      </c>
      <c r="B25" s="6" t="s">
        <v>5</v>
      </c>
      <c r="C25" s="6" t="s">
        <v>6</v>
      </c>
      <c r="G25" s="23"/>
      <c r="H25" s="15"/>
      <c r="K25" s="23"/>
      <c r="P25" s="12" t="s">
        <v>19</v>
      </c>
      <c r="Q25" s="12">
        <f>Q24^0.5</f>
        <v>1.5974516743400569</v>
      </c>
    </row>
    <row r="26" spans="1:17" ht="15.75" customHeight="1" thickTop="1" x14ac:dyDescent="0.25">
      <c r="B26" s="26"/>
      <c r="C26" s="26"/>
      <c r="G26" s="23"/>
      <c r="H26" s="16"/>
      <c r="K26" s="23"/>
      <c r="L26" s="8">
        <f>1-(M23/N23)</f>
        <v>0.93901575500088508</v>
      </c>
      <c r="M26" s="9" t="s">
        <v>12</v>
      </c>
    </row>
    <row r="27" spans="1:17" ht="31.2" customHeight="1" x14ac:dyDescent="0.25">
      <c r="B27" s="27"/>
      <c r="C27" s="27"/>
      <c r="P27" s="32" t="s">
        <v>22</v>
      </c>
      <c r="Q27" s="33">
        <f>(SUM(D3:D22)/(H23*20))*Q24</f>
        <v>0.64859567901234549</v>
      </c>
    </row>
    <row r="28" spans="1:17" ht="15.75" customHeight="1" x14ac:dyDescent="0.25">
      <c r="B28" s="27"/>
      <c r="C28" s="27"/>
      <c r="E28" s="6" t="s">
        <v>7</v>
      </c>
      <c r="F28" s="24"/>
      <c r="G28" s="25">
        <f>C24-G31*B24</f>
        <v>2.1833333333333336</v>
      </c>
      <c r="H28" s="17"/>
      <c r="I28" s="18"/>
      <c r="P28" s="12" t="s">
        <v>20</v>
      </c>
      <c r="Q28" s="12">
        <f>((SUM(D3:D22)/(H23*20))^0.5*Q25)</f>
        <v>0.80535438101021428</v>
      </c>
    </row>
    <row r="29" spans="1:17" ht="15.75" customHeight="1" thickBot="1" x14ac:dyDescent="0.3">
      <c r="B29" s="28"/>
      <c r="C29" s="28"/>
      <c r="F29" s="16"/>
      <c r="G29" s="25"/>
      <c r="H29" s="19"/>
      <c r="I29" s="20"/>
      <c r="P29" s="12" t="s">
        <v>21</v>
      </c>
      <c r="Q29" s="12">
        <f>_xlfn.T.DIST.2T(ABS(Q30), 20-2)</f>
        <v>1.43125136657586E-2</v>
      </c>
    </row>
    <row r="30" spans="1:17" ht="15.75" customHeight="1" thickTop="1" x14ac:dyDescent="0.25">
      <c r="P30" s="29" t="s">
        <v>24</v>
      </c>
      <c r="Q30" s="12">
        <f>G28/Q28</f>
        <v>2.7110218616984745</v>
      </c>
    </row>
    <row r="31" spans="1:17" ht="18.600000000000001" customHeight="1" x14ac:dyDescent="0.25">
      <c r="E31" s="6" t="s">
        <v>8</v>
      </c>
      <c r="F31" s="23"/>
      <c r="G31" s="25">
        <f>G23/H23</f>
        <v>1.7166666666666666</v>
      </c>
      <c r="H31" s="17"/>
      <c r="I31" s="21"/>
      <c r="J31" s="18"/>
      <c r="P31" s="31"/>
      <c r="Q31" s="31"/>
    </row>
    <row r="32" spans="1:17" ht="15.75" customHeight="1" x14ac:dyDescent="0.25">
      <c r="F32" s="23"/>
      <c r="G32" s="25"/>
      <c r="H32" s="19"/>
      <c r="I32" s="22"/>
      <c r="J32" s="20"/>
      <c r="P32" s="36" t="s">
        <v>23</v>
      </c>
      <c r="Q32" s="34">
        <f>Q24/H23</f>
        <v>1.0632716049382714E-2</v>
      </c>
    </row>
    <row r="33" spans="5:17" ht="15.75" customHeight="1" x14ac:dyDescent="0.25">
      <c r="P33" s="37"/>
      <c r="Q33" s="35"/>
    </row>
    <row r="34" spans="5:17" ht="15.75" customHeight="1" x14ac:dyDescent="0.25">
      <c r="P34" s="12" t="s">
        <v>20</v>
      </c>
      <c r="Q34" s="12">
        <f>Q32^0.5</f>
        <v>0.10311506218483657</v>
      </c>
    </row>
    <row r="35" spans="5:17" ht="15.75" customHeight="1" x14ac:dyDescent="0.25">
      <c r="E35" s="39"/>
      <c r="F35" s="40"/>
      <c r="G35" s="41"/>
      <c r="P35" s="12" t="s">
        <v>25</v>
      </c>
      <c r="Q35" s="38">
        <f>_xlfn.T.DIST.2T(ABS(Q36),20-2)</f>
        <v>2.2258570300770228E-12</v>
      </c>
    </row>
    <row r="36" spans="5:17" ht="15.75" customHeight="1" x14ac:dyDescent="0.25">
      <c r="E36" s="42"/>
      <c r="F36" s="43"/>
      <c r="G36" s="44"/>
      <c r="P36" s="12" t="s">
        <v>26</v>
      </c>
      <c r="Q36" s="12">
        <f>G31/Q34</f>
        <v>16.64806896580729</v>
      </c>
    </row>
    <row r="37" spans="5:17" ht="15.75" customHeight="1" x14ac:dyDescent="0.25">
      <c r="E37" s="45" t="s">
        <v>27</v>
      </c>
      <c r="F37" s="46"/>
      <c r="G37" s="47"/>
    </row>
    <row r="38" spans="5:17" ht="15.75" customHeight="1" x14ac:dyDescent="0.25">
      <c r="E38" s="30"/>
      <c r="F38" s="30"/>
      <c r="G38" s="30"/>
    </row>
  </sheetData>
  <mergeCells count="16">
    <mergeCell ref="E37:G37"/>
    <mergeCell ref="B26:B29"/>
    <mergeCell ref="G24:G26"/>
    <mergeCell ref="P32:P33"/>
    <mergeCell ref="Q32:Q33"/>
    <mergeCell ref="E35:G36"/>
    <mergeCell ref="F28:F29"/>
    <mergeCell ref="G28:G29"/>
    <mergeCell ref="G31:G32"/>
    <mergeCell ref="F31:F32"/>
    <mergeCell ref="C26:C29"/>
    <mergeCell ref="P23:Q23"/>
    <mergeCell ref="H24:H26"/>
    <mergeCell ref="H28:I29"/>
    <mergeCell ref="H31:J32"/>
    <mergeCell ref="K25:K2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2026-09-26T00:02:27Z</dcterms:created>
  <dcterms:modified xsi:type="dcterms:W3CDTF">2026-10-02T15:38:21Z</dcterms:modified>
</cp:coreProperties>
</file>